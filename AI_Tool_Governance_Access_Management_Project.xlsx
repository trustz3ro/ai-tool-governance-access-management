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9c66d32da645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Tool Inventory" sheetId="1" r:id="R4d3e3c958ca248ec"/>
    <x:sheet xmlns:r="http://schemas.openxmlformats.org/officeDocument/2006/relationships" name="Access Requests" sheetId="2" r:id="R5aacb7eb63fe4298"/>
    <x:sheet xmlns:r="http://schemas.openxmlformats.org/officeDocument/2006/relationships" name="Use Case Index" sheetId="3" r:id="R9fa4a4877ae64434"/>
    <x:sheet xmlns:r="http://schemas.openxmlformats.org/officeDocument/2006/relationships" name="Dashboard" sheetId="4" r:id="R82362054203748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$#,##0"/>
    <x:numFmt numFmtId="202" formatCode="mm/dd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59595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fe9ce8737d4a89" /><Relationship Type="http://schemas.openxmlformats.org/officeDocument/2006/relationships/theme" Target="/xl/theme/theme1.xml" Id="Rc35a6a5a5817450d" /><Relationship Type="http://schemas.openxmlformats.org/officeDocument/2006/relationships/sharedStrings" Target="/xl/sharedStrings.xml" Id="Rbe3f9c9a2e8b4fbd" /><Relationship Type="http://schemas.openxmlformats.org/officeDocument/2006/relationships/worksheet" Target="/xl/worksheets/sheet1.xml" Id="R4d3e3c958ca248ec" /><Relationship Type="http://schemas.openxmlformats.org/officeDocument/2006/relationships/worksheet" Target="/xl/worksheets/sheet2.xml" Id="R5aacb7eb63fe4298" /><Relationship Type="http://schemas.openxmlformats.org/officeDocument/2006/relationships/worksheet" Target="/xl/worksheets/sheet3.xml" Id="R9fa4a4877ae64434" /><Relationship Type="http://schemas.openxmlformats.org/officeDocument/2006/relationships/worksheet" Target="/xl/worksheets/sheet4.xml" Id="R82362054203748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829131eaa0d428e" /><Relationship Type="http://schemas.openxmlformats.org/officeDocument/2006/relationships/chart" Target="/xl/drawings/charts/chart2.xml" Id="Rb7ea9dfc61204a0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AI Tool Utilization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Utilization</c:v>
          </c:tx>
          <c:cat>
            <c:strRef>
              <c:f>'Dashboard'!$D$4:$D$9</c:f>
              <c:strCache>
                <c:ptCount val="0"/>
              </c:strCache>
            </c:strRef>
          </c:cat>
          <c:val>
            <c:numRef>
              <c:f>'Dashboard'!$E$4:$E$9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Access Request Status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'Dashboard'!$G$4:$G$7</c:f>
              <c:strCache>
                <c:ptCount val="0"/>
              </c:strCache>
            </c:strRef>
          </c:cat>
          <c:val>
            <c:numRef>
              <c:f>'Dashboard'!$H$4:$H$7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11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29131eaa0d428e"/>
        </a:graphicData>
      </a:graphic>
    </xdr:graphicFrame>
    <xdr:clientData/>
  </xdr:twoCellAnchor>
  <xdr:twoCellAnchor>
    <xdr:from>
      <xdr:col>11</xdr:col>
      <xdr:colOff>0</xdr:colOff>
      <xdr:row>10</xdr:row>
      <xdr:rowOff>0</xdr:rowOff>
    </xdr:from>
    <xdr:to>
      <xdr:col>19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ea9dfc61204a0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IToolInventoryTable" displayName="AIToolInventoryTable" ref="A3:M9" headerRowCount="1" totalsRowCount="0" totalsRowShown="0">
  <x:tableColumns count="13">
    <x:tableColumn id="1" name="Tool Name"/>
    <x:tableColumn id="2" name="Vendor"/>
    <x:tableColumn id="3" name="Department"/>
    <x:tableColumn id="4" name="Business Owner"/>
    <x:tableColumn id="5" name="Technical Owner"/>
    <x:tableColumn id="6" name="Total Licenses"/>
    <x:tableColumn id="7" name="Active Users"/>
    <x:tableColumn id="8" name="Monthly Cost"/>
    <x:tableColumn id="9" name="Approval Status"/>
    <x:tableColumn id="10" name="Data Risk"/>
    <x:tableColumn id="11" name="Primary Use Case"/>
    <x:tableColumn id="12" name="Last Review Date"/>
    <x:tableColumn id="13" name="Utilization R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cessRequestsTable" displayName="AccessRequestsTable" ref="A3:K11" headerRowCount="1" totalsRowCount="0" totalsRowShown="0">
  <x:tableColumns count="11">
    <x:tableColumn id="1" name="Request ID"/>
    <x:tableColumn id="2" name="Employee"/>
    <x:tableColumn id="3" name="Department"/>
    <x:tableColumn id="4" name="Requested Tool"/>
    <x:tableColumn id="5" name="Request Date"/>
    <x:tableColumn id="6" name="Manager Approval"/>
    <x:tableColumn id="7" name="Security Review"/>
    <x:tableColumn id="8" name="License Available"/>
    <x:tableColumn id="9" name="Provisioning Status"/>
    <x:tableColumn id="10" name="Provisioned Date"/>
    <x:tableColumn id="11" name="Access Review 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seCaseIndexTable" displayName="UseCaseIndexTable" ref="A3:G9" headerRowCount="1" totalsRowCount="0" totalsRowShown="0">
  <x:tableColumns count="7">
    <x:tableColumn id="1" name="Use Case ID"/>
    <x:tableColumn id="2" name="Tool"/>
    <x:tableColumn id="3" name="Department"/>
    <x:tableColumn id="4" name="Business Need"/>
    <x:tableColumn id="5" name="Expected Benefit"/>
    <x:tableColumn id="6" name="Adoption Level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aae97835b749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9a7c17980543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c5701290f3542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219ce34ae7546af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6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38" hidden="0" customWidth="1"/>
    <x:col min="12" max="12" width="15" hidden="0" customWidth="1"/>
    <x:col min="13" max="13" width="16" hidden="0" customWidth="1"/>
  </x:cols>
  <x:sheetData>
    <x:row r="1" ht="28" customHeight="1">
      <x:c r="A1" s="32" t="str">
        <x:v>AI Tool Inventory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 ht="30" customHeight="1">
      <x:c r="A3" s="13" t="str">
        <x:v>Tool Name</x:v>
      </x:c>
      <x:c r="B3" s="13" t="str">
        <x:v>Vendor</x:v>
      </x:c>
      <x:c r="C3" s="13" t="str">
        <x:v>Department</x:v>
      </x:c>
      <x:c r="D3" s="13" t="str">
        <x:v>Business Owner</x:v>
      </x:c>
      <x:c r="E3" s="13" t="str">
        <x:v>Technical Owner</x:v>
      </x:c>
      <x:c r="F3" s="13" t="str">
        <x:v>Total Licenses</x:v>
      </x:c>
      <x:c r="G3" s="13" t="str">
        <x:v>Active Users</x:v>
      </x:c>
      <x:c r="H3" s="13" t="str">
        <x:v>Monthly Cost</x:v>
      </x:c>
      <x:c r="I3" s="13" t="str">
        <x:v>Approval Status</x:v>
      </x:c>
      <x:c r="J3" s="13" t="str">
        <x:v>Data Risk</x:v>
      </x:c>
      <x:c r="K3" s="13" t="str">
        <x:v>Primary Use Case</x:v>
      </x:c>
      <x:c r="L3" s="13" t="str">
        <x:v>Last Review Date</x:v>
      </x:c>
      <x:c r="M3" s="13" t="str">
        <x:v>Utilization Rate</x:v>
      </x:c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 t="str">
        <x:v>GitLab Duo</x:v>
      </x:c>
      <x:c r="B4" s="33" t="str">
        <x:v>GitLab</x:v>
      </x:c>
      <x:c r="C4" s="33" t="str">
        <x:v>Engineering</x:v>
      </x:c>
      <x:c r="D4" s="33" t="str">
        <x:v>VP Engineering</x:v>
      </x:c>
      <x:c r="E4" s="33" t="str">
        <x:v>IT Operations</x:v>
      </x:c>
      <x:c r="F4" s="33" t="n">
        <x:v>45</x:v>
      </x:c>
      <x:c r="G4" s="33" t="n">
        <x:v>39</x:v>
      </x:c>
      <x:c r="H4" s="34" t="n">
        <x:v>8550</x:v>
      </x:c>
      <x:c r="I4" s="33" t="str">
        <x:v>Approved</x:v>
      </x:c>
      <x:c r="J4" s="33" t="str">
        <x:v>Medium</x:v>
      </x:c>
      <x:c r="K4" s="33" t="str">
        <x:v>Code assistance and DevSecOps productivity</x:v>
      </x:c>
      <x:c r="L4" s="35" t="n">
        <x:v>46249</x:v>
      </x:c>
      <x:c r="M4" s="36" t="n">
        <x:f>IFERROR(G4/F4,0)</x:f>
        <x:v>0.8666666666666667</x:v>
      </x:c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 t="str">
        <x:v>ChatGPT Enterprise</x:v>
      </x:c>
      <x:c r="B5" s="33" t="str">
        <x:v>OpenAI</x:v>
      </x:c>
      <x:c r="C5" s="33" t="str">
        <x:v>Company-Wide</x:v>
      </x:c>
      <x:c r="D5" s="33" t="str">
        <x:v>VP Enablement</x:v>
      </x:c>
      <x:c r="E5" s="33" t="str">
        <x:v>IT Operations</x:v>
      </x:c>
      <x:c r="F5" s="33" t="n">
        <x:v>80</x:v>
      </x:c>
      <x:c r="G5" s="33" t="n">
        <x:v>68</x:v>
      </x:c>
      <x:c r="H5" s="34" t="n">
        <x:v>4800</x:v>
      </x:c>
      <x:c r="I5" s="33" t="str">
        <x:v>Approved</x:v>
      </x:c>
      <x:c r="J5" s="33" t="str">
        <x:v>Medium</x:v>
      </x:c>
      <x:c r="K5" s="33" t="str">
        <x:v>Research, writing, analysis, workflow support</x:v>
      </x:c>
      <x:c r="L5" s="35" t="n">
        <x:v>46254</x:v>
      </x:c>
      <x:c r="M5" s="36" t="n">
        <x:f>IFERROR(G5/F5,0)</x:f>
        <x:v>0.85</x:v>
      </x:c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 t="str">
        <x:v>Microsoft 365 Copilot</x:v>
      </x:c>
      <x:c r="B6" s="33" t="str">
        <x:v>Microsoft</x:v>
      </x:c>
      <x:c r="C6" s="33" t="str">
        <x:v>Sales</x:v>
      </x:c>
      <x:c r="D6" s="33" t="str">
        <x:v>VP Sales</x:v>
      </x:c>
      <x:c r="E6" s="33" t="str">
        <x:v>IT Operations</x:v>
      </x:c>
      <x:c r="F6" s="33" t="n">
        <x:v>60</x:v>
      </x:c>
      <x:c r="G6" s="33" t="n">
        <x:v>44</x:v>
      </x:c>
      <x:c r="H6" s="34" t="n">
        <x:v>1800</x:v>
      </x:c>
      <x:c r="I6" s="33" t="str">
        <x:v>Approved</x:v>
      </x:c>
      <x:c r="J6" s="33" t="str">
        <x:v>Medium</x:v>
      </x:c>
      <x:c r="K6" s="33" t="str">
        <x:v>Email, documents, meetings, sales productivity</x:v>
      </x:c>
      <x:c r="L6" s="35" t="n">
        <x:v>46231</x:v>
      </x:c>
      <x:c r="M6" s="36" t="n">
        <x:f>IFERROR(G6/F6,0)</x:f>
        <x:v>0.7333333333333333</x:v>
      </x:c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 t="str">
        <x:v>Gemini for Workspace</x:v>
      </x:c>
      <x:c r="B7" s="33" t="str">
        <x:v>Google</x:v>
      </x:c>
      <x:c r="C7" s="33" t="str">
        <x:v>Marketing</x:v>
      </x:c>
      <x:c r="D7" s="33" t="str">
        <x:v>VP Marketing</x:v>
      </x:c>
      <x:c r="E7" s="33" t="str">
        <x:v>IT Operations</x:v>
      </x:c>
      <x:c r="F7" s="33" t="n">
        <x:v>35</x:v>
      </x:c>
      <x:c r="G7" s="33" t="n">
        <x:v>17</x:v>
      </x:c>
      <x:c r="H7" s="34" t="n">
        <x:v>700</x:v>
      </x:c>
      <x:c r="I7" s="33" t="str">
        <x:v>Pilot</x:v>
      </x:c>
      <x:c r="J7" s="33" t="str">
        <x:v>Medium</x:v>
      </x:c>
      <x:c r="K7" s="33" t="str">
        <x:v>Content ideation and Workspace productivity</x:v>
      </x:c>
      <x:c r="L7" s="35" t="n">
        <x:v>46239</x:v>
      </x:c>
      <x:c r="M7" s="36" t="n">
        <x:f>IFERROR(G7/F7,0)</x:f>
        <x:v>0.4857142857142857</x:v>
      </x:c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 t="str">
        <x:v>Claude Team</x:v>
      </x:c>
      <x:c r="B8" s="33" t="str">
        <x:v>Anthropic</x:v>
      </x:c>
      <x:c r="C8" s="33" t="str">
        <x:v>Customer Success</x:v>
      </x:c>
      <x:c r="D8" s="33" t="str">
        <x:v>VP Customer Success</x:v>
      </x:c>
      <x:c r="E8" s="33" t="str">
        <x:v>IT Operations</x:v>
      </x:c>
      <x:c r="F8" s="33" t="n">
        <x:v>25</x:v>
      </x:c>
      <x:c r="G8" s="33" t="n">
        <x:v>9</x:v>
      </x:c>
      <x:c r="H8" s="34" t="n">
        <x:v>750</x:v>
      </x:c>
      <x:c r="I8" s="33" t="str">
        <x:v>Under Review</x:v>
      </x:c>
      <x:c r="J8" s="33" t="str">
        <x:v>Medium</x:v>
      </x:c>
      <x:c r="K8" s="33" t="str">
        <x:v>Customer response drafting and knowledge analysis</x:v>
      </x:c>
      <x:c r="L8" s="35" t="n">
        <x:v>46244</x:v>
      </x:c>
      <x:c r="M8" s="36" t="n">
        <x:f>IFERROR(G8/F8,0)</x:f>
        <x:v>0.36</x:v>
      </x:c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3" t="str">
        <x:v>Notion AI</x:v>
      </x:c>
      <x:c r="B9" s="33" t="str">
        <x:v>Notion</x:v>
      </x:c>
      <x:c r="C9" s="33" t="str">
        <x:v>Operations</x:v>
      </x:c>
      <x:c r="D9" s="33" t="str">
        <x:v>COO</x:v>
      </x:c>
      <x:c r="E9" s="33" t="str">
        <x:v>IT Operations</x:v>
      </x:c>
      <x:c r="F9" s="33" t="n">
        <x:v>30</x:v>
      </x:c>
      <x:c r="G9" s="33" t="n">
        <x:v>11</x:v>
      </x:c>
      <x:c r="H9" s="34" t="n">
        <x:v>600</x:v>
      </x:c>
      <x:c r="I9" s="33" t="str">
        <x:v>Approved</x:v>
      </x:c>
      <x:c r="J9" s="33" t="str">
        <x:v>Low</x:v>
      </x:c>
      <x:c r="K9" s="33" t="str">
        <x:v>Knowledge management and documentation</x:v>
      </x:c>
      <x:c r="L9" s="35" t="n">
        <x:v>46252</x:v>
      </x:c>
      <x:c r="M9" s="36" t="n">
        <x:f>IFERROR(G9/F9,0)</x:f>
        <x:v>0.36666666666666664</x:v>
      </x:c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</x:sheetData>
  <x:mergeCells>
    <x:mergeCell ref="A1:M1"/>
  </x:mergeCells>
  <x:conditionalFormatting sqref="M4:M10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2">
    <x:dataValidation type="list" sqref="I4:I100">
      <x:formula1>"Approved,Pilot,Under Review,Rejected,Retired"</x:formula1>
    </x:dataValidation>
    <x:dataValidation type="list" sqref="J4:J100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aae97835b7490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4" hidden="0" customWidth="1"/>
    <x:col min="5" max="5" width="14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6" hidden="0" customWidth="1"/>
    <x:col min="11" max="11" width="16" hidden="0" customWidth="1"/>
  </x:cols>
  <x:sheetData>
    <x:row r="1" ht="28" customHeight="1">
      <x:c r="A1" s="32" t="str">
        <x:v>AI Tool Access Requests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 ht="30" customHeight="1">
      <x:c r="A3" s="13" t="str">
        <x:v>Request ID</x:v>
      </x:c>
      <x:c r="B3" s="13" t="str">
        <x:v>Employee</x:v>
      </x:c>
      <x:c r="C3" s="13" t="str">
        <x:v>Department</x:v>
      </x:c>
      <x:c r="D3" s="13" t="str">
        <x:v>Requested Tool</x:v>
      </x:c>
      <x:c r="E3" s="13" t="str">
        <x:v>Request Date</x:v>
      </x:c>
      <x:c r="F3" s="13" t="str">
        <x:v>Manager Approval</x:v>
      </x:c>
      <x:c r="G3" s="13" t="str">
        <x:v>Security Review</x:v>
      </x:c>
      <x:c r="H3" s="13" t="str">
        <x:v>License Available</x:v>
      </x:c>
      <x:c r="I3" s="13" t="str">
        <x:v>Provisioning Status</x:v>
      </x:c>
      <x:c r="J3" s="13" t="str">
        <x:v>Provisioned Date</x:v>
      </x:c>
      <x:c r="K3" s="13" t="str">
        <x:v>Access Review Date</x:v>
      </x:c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 t="str">
        <x:v>AR-1001</x:v>
      </x:c>
      <x:c r="B4" s="33" t="str">
        <x:v>Jordan Lee</x:v>
      </x:c>
      <x:c r="C4" s="33" t="str">
        <x:v>Sales</x:v>
      </x:c>
      <x:c r="D4" s="33" t="str">
        <x:v>Microsoft 365 Copilot</x:v>
      </x:c>
      <x:c r="E4" s="35" t="n">
        <x:v>46267</x:v>
      </x:c>
      <x:c r="F4" s="33" t="str">
        <x:v>Approved</x:v>
      </x:c>
      <x:c r="G4" s="33" t="str">
        <x:v>Approved</x:v>
      </x:c>
      <x:c r="H4" s="33" t="str">
        <x:v>Yes</x:v>
      </x:c>
      <x:c r="I4" s="33" t="str">
        <x:v>Provisioned</x:v>
      </x:c>
      <x:c r="J4" s="35" t="n">
        <x:v>46268</x:v>
      </x:c>
      <x:c r="K4" s="35" t="n">
        <x:v>46359</x:v>
      </x:c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 t="str">
        <x:v>AR-1002</x:v>
      </x:c>
      <x:c r="B5" s="33" t="str">
        <x:v>Taylor Morgan</x:v>
      </x:c>
      <x:c r="C5" s="33" t="str">
        <x:v>Marketing</x:v>
      </x:c>
      <x:c r="D5" s="33" t="str">
        <x:v>Gemini for Workspace</x:v>
      </x:c>
      <x:c r="E5" s="35" t="n">
        <x:v>46269</x:v>
      </x:c>
      <x:c r="F5" s="33" t="str">
        <x:v>Approved</x:v>
      </x:c>
      <x:c r="G5" s="33" t="str">
        <x:v>Approved</x:v>
      </x:c>
      <x:c r="H5" s="33" t="str">
        <x:v>Yes</x:v>
      </x:c>
      <x:c r="I5" s="33" t="str">
        <x:v>Provisioned</x:v>
      </x:c>
      <x:c r="J5" s="35" t="n">
        <x:v>46270</x:v>
      </x:c>
      <x:c r="K5" s="35" t="n">
        <x:v>46361</x:v>
      </x:c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 t="str">
        <x:v>AR-1003</x:v>
      </x:c>
      <x:c r="B6" s="33" t="str">
        <x:v>Casey Brown</x:v>
      </x:c>
      <x:c r="C6" s="33" t="str">
        <x:v>Engineering</x:v>
      </x:c>
      <x:c r="D6" s="33" t="str">
        <x:v>GitLab Duo</x:v>
      </x:c>
      <x:c r="E6" s="35" t="n">
        <x:v>46271</x:v>
      </x:c>
      <x:c r="F6" s="33" t="str">
        <x:v>Approved</x:v>
      </x:c>
      <x:c r="G6" s="33" t="str">
        <x:v>Pending</x:v>
      </x:c>
      <x:c r="H6" s="33" t="str">
        <x:v>Yes</x:v>
      </x:c>
      <x:c r="I6" s="33" t="str">
        <x:v>Pending</x:v>
      </x:c>
      <x:c r="J6" s="35"/>
      <x:c r="K6" s="35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 t="str">
        <x:v>AR-1004</x:v>
      </x:c>
      <x:c r="B7" s="33" t="str">
        <x:v>Morgan Davis</x:v>
      </x:c>
      <x:c r="C7" s="33" t="str">
        <x:v>Operations</x:v>
      </x:c>
      <x:c r="D7" s="33" t="str">
        <x:v>Notion AI</x:v>
      </x:c>
      <x:c r="E7" s="35" t="n">
        <x:v>46272</x:v>
      </x:c>
      <x:c r="F7" s="33" t="str">
        <x:v>Pending</x:v>
      </x:c>
      <x:c r="G7" s="33" t="str">
        <x:v>Pending</x:v>
      </x:c>
      <x:c r="H7" s="33" t="str">
        <x:v>Yes</x:v>
      </x:c>
      <x:c r="I7" s="33" t="str">
        <x:v>Pending</x:v>
      </x:c>
      <x:c r="J7" s="35"/>
      <x:c r="K7" s="35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 t="str">
        <x:v>AR-1005</x:v>
      </x:c>
      <x:c r="B8" s="33" t="str">
        <x:v>Riley Smith</x:v>
      </x:c>
      <x:c r="C8" s="33" t="str">
        <x:v>Customer Success</x:v>
      </x:c>
      <x:c r="D8" s="33" t="str">
        <x:v>Claude Team</x:v>
      </x:c>
      <x:c r="E8" s="35" t="n">
        <x:v>46273</x:v>
      </x:c>
      <x:c r="F8" s="33" t="str">
        <x:v>Approved</x:v>
      </x:c>
      <x:c r="G8" s="33" t="str">
        <x:v>Under Review</x:v>
      </x:c>
      <x:c r="H8" s="33" t="str">
        <x:v>No</x:v>
      </x:c>
      <x:c r="I8" s="33" t="str">
        <x:v>On Hold</x:v>
      </x:c>
      <x:c r="J8" s="35"/>
      <x:c r="K8" s="35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3" t="str">
        <x:v>AR-1006</x:v>
      </x:c>
      <x:c r="B9" s="33" t="str">
        <x:v>Avery Wilson</x:v>
      </x:c>
      <x:c r="C9" s="33" t="str">
        <x:v>Sales</x:v>
      </x:c>
      <x:c r="D9" s="33" t="str">
        <x:v>ChatGPT Enterprise</x:v>
      </x:c>
      <x:c r="E9" s="35" t="n">
        <x:v>46274</x:v>
      </x:c>
      <x:c r="F9" s="33" t="str">
        <x:v>Approved</x:v>
      </x:c>
      <x:c r="G9" s="33" t="str">
        <x:v>Approved</x:v>
      </x:c>
      <x:c r="H9" s="33" t="str">
        <x:v>Yes</x:v>
      </x:c>
      <x:c r="I9" s="33" t="str">
        <x:v>Provisioned</x:v>
      </x:c>
      <x:c r="J9" s="35" t="n">
        <x:v>46275</x:v>
      </x:c>
      <x:c r="K9" s="35" t="n">
        <x:v>46366</x:v>
      </x:c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3" t="str">
        <x:v>AR-1007</x:v>
      </x:c>
      <x:c r="B10" s="33" t="str">
        <x:v>Jamie Carter</x:v>
      </x:c>
      <x:c r="C10" s="33" t="str">
        <x:v>Engineering</x:v>
      </x:c>
      <x:c r="D10" s="33" t="str">
        <x:v>GitLab Duo</x:v>
      </x:c>
      <x:c r="E10" s="35" t="n">
        <x:v>46276</x:v>
      </x:c>
      <x:c r="F10" s="33" t="str">
        <x:v>Approved</x:v>
      </x:c>
      <x:c r="G10" s="33" t="str">
        <x:v>Approved</x:v>
      </x:c>
      <x:c r="H10" s="33" t="str">
        <x:v>Yes</x:v>
      </x:c>
      <x:c r="I10" s="33" t="str">
        <x:v>Provisioned</x:v>
      </x:c>
      <x:c r="J10" s="35" t="n">
        <x:v>46276</x:v>
      </x:c>
      <x:c r="K10" s="35" t="n">
        <x:v>46367</x:v>
      </x:c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 t="str">
        <x:v>AR-1008</x:v>
      </x:c>
      <x:c r="B11" s="33" t="str">
        <x:v>Parker Hall</x:v>
      </x:c>
      <x:c r="C11" s="33" t="str">
        <x:v>Marketing</x:v>
      </x:c>
      <x:c r="D11" s="33" t="str">
        <x:v>ChatGPT Enterprise</x:v>
      </x:c>
      <x:c r="E11" s="35" t="n">
        <x:v>46277</x:v>
      </x:c>
      <x:c r="F11" s="33" t="str">
        <x:v>Pending</x:v>
      </x:c>
      <x:c r="G11" s="33" t="str">
        <x:v>Pending</x:v>
      </x:c>
      <x:c r="H11" s="33" t="str">
        <x:v>Yes</x:v>
      </x:c>
      <x:c r="I11" s="33" t="str">
        <x:v>Pending</x:v>
      </x:c>
      <x:c r="J11" s="35"/>
      <x:c r="K11" s="35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3"/>
      <x:c r="D12" s="33"/>
      <x:c r="E12" s="35"/>
      <x:c r="F12" s="33"/>
      <x:c r="G12" s="33"/>
      <x:c r="H12" s="33"/>
      <x:c r="I12" s="33"/>
      <x:c r="J12" s="35"/>
      <x:c r="K12" s="35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5"/>
      <x:c r="F13" s="33"/>
      <x:c r="G13" s="33"/>
      <x:c r="H13" s="33"/>
      <x:c r="I13" s="33"/>
      <x:c r="J13" s="35"/>
      <x:c r="K13" s="35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5"/>
      <x:c r="F14" s="33"/>
      <x:c r="G14" s="33"/>
      <x:c r="H14" s="33"/>
      <x:c r="I14" s="33"/>
      <x:c r="J14" s="35"/>
      <x:c r="K14" s="35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5"/>
      <x:c r="F15" s="33"/>
      <x:c r="G15" s="33"/>
      <x:c r="H15" s="33"/>
      <x:c r="I15" s="33"/>
      <x:c r="J15" s="35"/>
      <x:c r="K15" s="35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5"/>
      <x:c r="F16" s="33"/>
      <x:c r="G16" s="33"/>
      <x:c r="H16" s="33"/>
      <x:c r="I16" s="33"/>
      <x:c r="J16" s="35"/>
      <x:c r="K16" s="35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5"/>
      <x:c r="F17" s="33"/>
      <x:c r="G17" s="33"/>
      <x:c r="H17" s="33"/>
      <x:c r="I17" s="33"/>
      <x:c r="J17" s="35"/>
      <x:c r="K17" s="35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5"/>
      <x:c r="F18" s="33"/>
      <x:c r="G18" s="33"/>
      <x:c r="H18" s="33"/>
      <x:c r="I18" s="33"/>
      <x:c r="J18" s="35"/>
      <x:c r="K18" s="35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5"/>
      <x:c r="F19" s="33"/>
      <x:c r="G19" s="33"/>
      <x:c r="H19" s="33"/>
      <x:c r="I19" s="33"/>
      <x:c r="J19" s="35"/>
      <x:c r="K19" s="35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5"/>
      <x:c r="F20" s="33"/>
      <x:c r="G20" s="33"/>
      <x:c r="H20" s="33"/>
      <x:c r="I20" s="33"/>
      <x:c r="J20" s="35"/>
      <x:c r="K20" s="35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5"/>
      <x:c r="F21" s="33"/>
      <x:c r="G21" s="33"/>
      <x:c r="H21" s="33"/>
      <x:c r="I21" s="33"/>
      <x:c r="J21" s="35"/>
      <x:c r="K21" s="35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5"/>
      <x:c r="F22" s="33"/>
      <x:c r="G22" s="33"/>
      <x:c r="H22" s="33"/>
      <x:c r="I22" s="33"/>
      <x:c r="J22" s="35"/>
      <x:c r="K22" s="35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5"/>
      <x:c r="F23" s="33"/>
      <x:c r="G23" s="33"/>
      <x:c r="H23" s="33"/>
      <x:c r="I23" s="33"/>
      <x:c r="J23" s="35"/>
      <x:c r="K23" s="35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5"/>
      <x:c r="F24" s="33"/>
      <x:c r="G24" s="33"/>
      <x:c r="H24" s="33"/>
      <x:c r="I24" s="33"/>
      <x:c r="J24" s="35"/>
      <x:c r="K24" s="35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5"/>
      <x:c r="F25" s="33"/>
      <x:c r="G25" s="33"/>
      <x:c r="H25" s="33"/>
      <x:c r="I25" s="33"/>
      <x:c r="J25" s="35"/>
      <x:c r="K25" s="35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5"/>
      <x:c r="F26" s="33"/>
      <x:c r="G26" s="33"/>
      <x:c r="H26" s="33"/>
      <x:c r="I26" s="33"/>
      <x:c r="J26" s="35"/>
      <x:c r="K26" s="35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5"/>
      <x:c r="F27" s="33"/>
      <x:c r="G27" s="33"/>
      <x:c r="H27" s="33"/>
      <x:c r="I27" s="33"/>
      <x:c r="J27" s="35"/>
      <x:c r="K27" s="35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5"/>
      <x:c r="F28" s="33"/>
      <x:c r="G28" s="33"/>
      <x:c r="H28" s="33"/>
      <x:c r="I28" s="33"/>
      <x:c r="J28" s="35"/>
      <x:c r="K28" s="35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5"/>
      <x:c r="F29" s="33"/>
      <x:c r="G29" s="33"/>
      <x:c r="H29" s="33"/>
      <x:c r="I29" s="33"/>
      <x:c r="J29" s="35"/>
      <x:c r="K29" s="35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5"/>
      <x:c r="F30" s="33"/>
      <x:c r="G30" s="33"/>
      <x:c r="H30" s="33"/>
      <x:c r="I30" s="33"/>
      <x:c r="J30" s="35"/>
      <x:c r="K30" s="35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5"/>
      <x:c r="F31" s="33"/>
      <x:c r="G31" s="33"/>
      <x:c r="H31" s="33"/>
      <x:c r="I31" s="33"/>
      <x:c r="J31" s="35"/>
      <x:c r="K31" s="35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5"/>
      <x:c r="F32" s="33"/>
      <x:c r="G32" s="33"/>
      <x:c r="H32" s="33"/>
      <x:c r="I32" s="33"/>
      <x:c r="J32" s="35"/>
      <x:c r="K32" s="35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5"/>
      <x:c r="F33" s="33"/>
      <x:c r="G33" s="33"/>
      <x:c r="H33" s="33"/>
      <x:c r="I33" s="33"/>
      <x:c r="J33" s="35"/>
      <x:c r="K33" s="35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5"/>
      <x:c r="F34" s="33"/>
      <x:c r="G34" s="33"/>
      <x:c r="H34" s="33"/>
      <x:c r="I34" s="33"/>
      <x:c r="J34" s="35"/>
      <x:c r="K34" s="35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5"/>
      <x:c r="F35" s="33"/>
      <x:c r="G35" s="33"/>
      <x:c r="H35" s="33"/>
      <x:c r="I35" s="33"/>
      <x:c r="J35" s="35"/>
      <x:c r="K35" s="35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5"/>
      <x:c r="F36" s="33"/>
      <x:c r="G36" s="33"/>
      <x:c r="H36" s="33"/>
      <x:c r="I36" s="33"/>
      <x:c r="J36" s="35"/>
      <x:c r="K36" s="35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5"/>
      <x:c r="F37" s="33"/>
      <x:c r="G37" s="33"/>
      <x:c r="H37" s="33"/>
      <x:c r="I37" s="33"/>
      <x:c r="J37" s="35"/>
      <x:c r="K37" s="35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5"/>
      <x:c r="F38" s="33"/>
      <x:c r="G38" s="33"/>
      <x:c r="H38" s="33"/>
      <x:c r="I38" s="33"/>
      <x:c r="J38" s="35"/>
      <x:c r="K38" s="35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5"/>
      <x:c r="F39" s="33"/>
      <x:c r="G39" s="33"/>
      <x:c r="H39" s="33"/>
      <x:c r="I39" s="33"/>
      <x:c r="J39" s="35"/>
      <x:c r="K39" s="35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5"/>
      <x:c r="F40" s="33"/>
      <x:c r="G40" s="33"/>
      <x:c r="H40" s="33"/>
      <x:c r="I40" s="33"/>
      <x:c r="J40" s="35"/>
      <x:c r="K40" s="35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5"/>
      <x:c r="F41" s="33"/>
      <x:c r="G41" s="33"/>
      <x:c r="H41" s="33"/>
      <x:c r="I41" s="33"/>
      <x:c r="J41" s="35"/>
      <x:c r="K41" s="35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5"/>
      <x:c r="F42" s="33"/>
      <x:c r="G42" s="33"/>
      <x:c r="H42" s="33"/>
      <x:c r="I42" s="33"/>
      <x:c r="J42" s="35"/>
      <x:c r="K42" s="35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5"/>
      <x:c r="F43" s="33"/>
      <x:c r="G43" s="33"/>
      <x:c r="H43" s="33"/>
      <x:c r="I43" s="33"/>
      <x:c r="J43" s="35"/>
      <x:c r="K43" s="35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5"/>
      <x:c r="F44" s="33"/>
      <x:c r="G44" s="33"/>
      <x:c r="H44" s="33"/>
      <x:c r="I44" s="33"/>
      <x:c r="J44" s="35"/>
      <x:c r="K44" s="35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5"/>
      <x:c r="F45" s="33"/>
      <x:c r="G45" s="33"/>
      <x:c r="H45" s="33"/>
      <x:c r="I45" s="33"/>
      <x:c r="J45" s="35"/>
      <x:c r="K45" s="35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5"/>
      <x:c r="F46" s="33"/>
      <x:c r="G46" s="33"/>
      <x:c r="H46" s="33"/>
      <x:c r="I46" s="33"/>
      <x:c r="J46" s="35"/>
      <x:c r="K46" s="35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5"/>
      <x:c r="F47" s="33"/>
      <x:c r="G47" s="33"/>
      <x:c r="H47" s="33"/>
      <x:c r="I47" s="33"/>
      <x:c r="J47" s="35"/>
      <x:c r="K47" s="35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5"/>
      <x:c r="F48" s="33"/>
      <x:c r="G48" s="33"/>
      <x:c r="H48" s="33"/>
      <x:c r="I48" s="33"/>
      <x:c r="J48" s="35"/>
      <x:c r="K48" s="35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5"/>
      <x:c r="F49" s="33"/>
      <x:c r="G49" s="33"/>
      <x:c r="H49" s="33"/>
      <x:c r="I49" s="33"/>
      <x:c r="J49" s="35"/>
      <x:c r="K49" s="35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5"/>
      <x:c r="F50" s="33"/>
      <x:c r="G50" s="33"/>
      <x:c r="H50" s="33"/>
      <x:c r="I50" s="33"/>
      <x:c r="J50" s="35"/>
      <x:c r="K50" s="35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5"/>
      <x:c r="F51" s="33"/>
      <x:c r="G51" s="33"/>
      <x:c r="H51" s="33"/>
      <x:c r="I51" s="33"/>
      <x:c r="J51" s="35"/>
      <x:c r="K51" s="35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5"/>
      <x:c r="F52" s="33"/>
      <x:c r="G52" s="33"/>
      <x:c r="H52" s="33"/>
      <x:c r="I52" s="33"/>
      <x:c r="J52" s="35"/>
      <x:c r="K52" s="35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5"/>
      <x:c r="F53" s="33"/>
      <x:c r="G53" s="33"/>
      <x:c r="H53" s="33"/>
      <x:c r="I53" s="33"/>
      <x:c r="J53" s="35"/>
      <x:c r="K53" s="35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5"/>
      <x:c r="F54" s="33"/>
      <x:c r="G54" s="33"/>
      <x:c r="H54" s="33"/>
      <x:c r="I54" s="33"/>
      <x:c r="J54" s="35"/>
      <x:c r="K54" s="35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5"/>
      <x:c r="F55" s="33"/>
      <x:c r="G55" s="33"/>
      <x:c r="H55" s="33"/>
      <x:c r="I55" s="33"/>
      <x:c r="J55" s="35"/>
      <x:c r="K55" s="35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5"/>
      <x:c r="F56" s="33"/>
      <x:c r="G56" s="33"/>
      <x:c r="H56" s="33"/>
      <x:c r="I56" s="33"/>
      <x:c r="J56" s="35"/>
      <x:c r="K56" s="35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5"/>
      <x:c r="F57" s="33"/>
      <x:c r="G57" s="33"/>
      <x:c r="H57" s="33"/>
      <x:c r="I57" s="33"/>
      <x:c r="J57" s="35"/>
      <x:c r="K57" s="35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5"/>
      <x:c r="F58" s="33"/>
      <x:c r="G58" s="33"/>
      <x:c r="H58" s="33"/>
      <x:c r="I58" s="33"/>
      <x:c r="J58" s="35"/>
      <x:c r="K58" s="35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5"/>
      <x:c r="F59" s="33"/>
      <x:c r="G59" s="33"/>
      <x:c r="H59" s="33"/>
      <x:c r="I59" s="33"/>
      <x:c r="J59" s="35"/>
      <x:c r="K59" s="35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5"/>
      <x:c r="F60" s="33"/>
      <x:c r="G60" s="33"/>
      <x:c r="H60" s="33"/>
      <x:c r="I60" s="33"/>
      <x:c r="J60" s="35"/>
      <x:c r="K60" s="35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33"/>
      <x:c r="C61" s="33"/>
      <x:c r="D61" s="33"/>
      <x:c r="E61" s="35"/>
      <x:c r="F61" s="33"/>
      <x:c r="G61" s="33"/>
      <x:c r="H61" s="33"/>
      <x:c r="I61" s="33"/>
      <x:c r="J61" s="35"/>
      <x:c r="K61" s="35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33"/>
      <x:c r="C62" s="33"/>
      <x:c r="D62" s="33"/>
      <x:c r="E62" s="35"/>
      <x:c r="F62" s="33"/>
      <x:c r="G62" s="33"/>
      <x:c r="H62" s="33"/>
      <x:c r="I62" s="33"/>
      <x:c r="J62" s="35"/>
      <x:c r="K62" s="35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33"/>
      <x:c r="C63" s="33"/>
      <x:c r="D63" s="33"/>
      <x:c r="E63" s="35"/>
      <x:c r="F63" s="33"/>
      <x:c r="G63" s="33"/>
      <x:c r="H63" s="33"/>
      <x:c r="I63" s="33"/>
      <x:c r="J63" s="35"/>
      <x:c r="K63" s="35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33"/>
      <x:c r="C64" s="33"/>
      <x:c r="D64" s="33"/>
      <x:c r="E64" s="35"/>
      <x:c r="F64" s="33"/>
      <x:c r="G64" s="33"/>
      <x:c r="H64" s="33"/>
      <x:c r="I64" s="33"/>
      <x:c r="J64" s="35"/>
      <x:c r="K64" s="35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33"/>
      <x:c r="C65" s="33"/>
      <x:c r="D65" s="33"/>
      <x:c r="E65" s="35"/>
      <x:c r="F65" s="33"/>
      <x:c r="G65" s="33"/>
      <x:c r="H65" s="33"/>
      <x:c r="I65" s="33"/>
      <x:c r="J65" s="35"/>
      <x:c r="K65" s="35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33"/>
      <x:c r="C66" s="33"/>
      <x:c r="D66" s="33"/>
      <x:c r="E66" s="35"/>
      <x:c r="F66" s="33"/>
      <x:c r="G66" s="33"/>
      <x:c r="H66" s="33"/>
      <x:c r="I66" s="33"/>
      <x:c r="J66" s="35"/>
      <x:c r="K66" s="35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33"/>
      <x:c r="C67" s="33"/>
      <x:c r="D67" s="33"/>
      <x:c r="E67" s="35"/>
      <x:c r="F67" s="33"/>
      <x:c r="G67" s="33"/>
      <x:c r="H67" s="33"/>
      <x:c r="I67" s="33"/>
      <x:c r="J67" s="35"/>
      <x:c r="K67" s="35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33"/>
      <x:c r="C68" s="33"/>
      <x:c r="D68" s="33"/>
      <x:c r="E68" s="35"/>
      <x:c r="F68" s="33"/>
      <x:c r="G68" s="33"/>
      <x:c r="H68" s="33"/>
      <x:c r="I68" s="33"/>
      <x:c r="J68" s="35"/>
      <x:c r="K68" s="35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33"/>
      <x:c r="C69" s="33"/>
      <x:c r="D69" s="33"/>
      <x:c r="E69" s="35"/>
      <x:c r="F69" s="33"/>
      <x:c r="G69" s="33"/>
      <x:c r="H69" s="33"/>
      <x:c r="I69" s="33"/>
      <x:c r="J69" s="35"/>
      <x:c r="K69" s="35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33"/>
      <x:c r="C70" s="33"/>
      <x:c r="D70" s="33"/>
      <x:c r="E70" s="35"/>
      <x:c r="F70" s="33"/>
      <x:c r="G70" s="33"/>
      <x:c r="H70" s="33"/>
      <x:c r="I70" s="33"/>
      <x:c r="J70" s="35"/>
      <x:c r="K70" s="35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33"/>
      <x:c r="C71" s="33"/>
      <x:c r="D71" s="33"/>
      <x:c r="E71" s="35"/>
      <x:c r="F71" s="33"/>
      <x:c r="G71" s="33"/>
      <x:c r="H71" s="33"/>
      <x:c r="I71" s="33"/>
      <x:c r="J71" s="35"/>
      <x:c r="K71" s="35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33"/>
      <x:c r="C72" s="33"/>
      <x:c r="D72" s="33"/>
      <x:c r="E72" s="35"/>
      <x:c r="F72" s="33"/>
      <x:c r="G72" s="33"/>
      <x:c r="H72" s="33"/>
      <x:c r="I72" s="33"/>
      <x:c r="J72" s="35"/>
      <x:c r="K72" s="35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33"/>
      <x:c r="C73" s="33"/>
      <x:c r="D73" s="33"/>
      <x:c r="E73" s="35"/>
      <x:c r="F73" s="33"/>
      <x:c r="G73" s="33"/>
      <x:c r="H73" s="33"/>
      <x:c r="I73" s="33"/>
      <x:c r="J73" s="35"/>
      <x:c r="K73" s="35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33"/>
      <x:c r="C74" s="33"/>
      <x:c r="D74" s="33"/>
      <x:c r="E74" s="35"/>
      <x:c r="F74" s="33"/>
      <x:c r="G74" s="33"/>
      <x:c r="H74" s="33"/>
      <x:c r="I74" s="33"/>
      <x:c r="J74" s="35"/>
      <x:c r="K74" s="35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33"/>
      <x:c r="C75" s="33"/>
      <x:c r="D75" s="33"/>
      <x:c r="E75" s="35"/>
      <x:c r="F75" s="33"/>
      <x:c r="G75" s="33"/>
      <x:c r="H75" s="33"/>
      <x:c r="I75" s="33"/>
      <x:c r="J75" s="35"/>
      <x:c r="K75" s="35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33"/>
      <x:c r="C76" s="33"/>
      <x:c r="D76" s="33"/>
      <x:c r="E76" s="35"/>
      <x:c r="F76" s="33"/>
      <x:c r="G76" s="33"/>
      <x:c r="H76" s="33"/>
      <x:c r="I76" s="33"/>
      <x:c r="J76" s="35"/>
      <x:c r="K76" s="35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33"/>
      <x:c r="C77" s="33"/>
      <x:c r="D77" s="33"/>
      <x:c r="E77" s="35"/>
      <x:c r="F77" s="33"/>
      <x:c r="G77" s="33"/>
      <x:c r="H77" s="33"/>
      <x:c r="I77" s="33"/>
      <x:c r="J77" s="35"/>
      <x:c r="K77" s="35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33"/>
      <x:c r="C78" s="33"/>
      <x:c r="D78" s="33"/>
      <x:c r="E78" s="35"/>
      <x:c r="F78" s="33"/>
      <x:c r="G78" s="33"/>
      <x:c r="H78" s="33"/>
      <x:c r="I78" s="33"/>
      <x:c r="J78" s="35"/>
      <x:c r="K78" s="35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33"/>
      <x:c r="C79" s="33"/>
      <x:c r="D79" s="33"/>
      <x:c r="E79" s="35"/>
      <x:c r="F79" s="33"/>
      <x:c r="G79" s="33"/>
      <x:c r="H79" s="33"/>
      <x:c r="I79" s="33"/>
      <x:c r="J79" s="35"/>
      <x:c r="K79" s="35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33"/>
      <x:c r="C80" s="33"/>
      <x:c r="D80" s="33"/>
      <x:c r="E80" s="35"/>
      <x:c r="F80" s="33"/>
      <x:c r="G80" s="33"/>
      <x:c r="H80" s="33"/>
      <x:c r="I80" s="33"/>
      <x:c r="J80" s="35"/>
      <x:c r="K80" s="35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33"/>
      <x:c r="C81" s="33"/>
      <x:c r="D81" s="33"/>
      <x:c r="E81" s="35"/>
      <x:c r="F81" s="33"/>
      <x:c r="G81" s="33"/>
      <x:c r="H81" s="33"/>
      <x:c r="I81" s="33"/>
      <x:c r="J81" s="35"/>
      <x:c r="K81" s="35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33"/>
      <x:c r="C82" s="33"/>
      <x:c r="D82" s="33"/>
      <x:c r="E82" s="35"/>
      <x:c r="F82" s="33"/>
      <x:c r="G82" s="33"/>
      <x:c r="H82" s="33"/>
      <x:c r="I82" s="33"/>
      <x:c r="J82" s="35"/>
      <x:c r="K82" s="35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33"/>
      <x:c r="C83" s="33"/>
      <x:c r="D83" s="33"/>
      <x:c r="E83" s="35"/>
      <x:c r="F83" s="33"/>
      <x:c r="G83" s="33"/>
      <x:c r="H83" s="33"/>
      <x:c r="I83" s="33"/>
      <x:c r="J83" s="35"/>
      <x:c r="K83" s="35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33"/>
      <x:c r="C84" s="33"/>
      <x:c r="D84" s="33"/>
      <x:c r="E84" s="35"/>
      <x:c r="F84" s="33"/>
      <x:c r="G84" s="33"/>
      <x:c r="H84" s="33"/>
      <x:c r="I84" s="33"/>
      <x:c r="J84" s="35"/>
      <x:c r="K84" s="35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33"/>
      <x:c r="C85" s="33"/>
      <x:c r="D85" s="33"/>
      <x:c r="E85" s="35"/>
      <x:c r="F85" s="33"/>
      <x:c r="G85" s="33"/>
      <x:c r="H85" s="33"/>
      <x:c r="I85" s="33"/>
      <x:c r="J85" s="35"/>
      <x:c r="K85" s="35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33"/>
      <x:c r="C86" s="33"/>
      <x:c r="D86" s="33"/>
      <x:c r="E86" s="35"/>
      <x:c r="F86" s="33"/>
      <x:c r="G86" s="33"/>
      <x:c r="H86" s="33"/>
      <x:c r="I86" s="33"/>
      <x:c r="J86" s="35"/>
      <x:c r="K86" s="35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33"/>
      <x:c r="C87" s="33"/>
      <x:c r="D87" s="33"/>
      <x:c r="E87" s="35"/>
      <x:c r="F87" s="33"/>
      <x:c r="G87" s="33"/>
      <x:c r="H87" s="33"/>
      <x:c r="I87" s="33"/>
      <x:c r="J87" s="35"/>
      <x:c r="K87" s="35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33"/>
      <x:c r="C88" s="33"/>
      <x:c r="D88" s="33"/>
      <x:c r="E88" s="35"/>
      <x:c r="F88" s="33"/>
      <x:c r="G88" s="33"/>
      <x:c r="H88" s="33"/>
      <x:c r="I88" s="33"/>
      <x:c r="J88" s="35"/>
      <x:c r="K88" s="35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33"/>
      <x:c r="C89" s="33"/>
      <x:c r="D89" s="33"/>
      <x:c r="E89" s="35"/>
      <x:c r="F89" s="33"/>
      <x:c r="G89" s="33"/>
      <x:c r="H89" s="33"/>
      <x:c r="I89" s="33"/>
      <x:c r="J89" s="35"/>
      <x:c r="K89" s="35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33"/>
      <x:c r="C90" s="33"/>
      <x:c r="D90" s="33"/>
      <x:c r="E90" s="35"/>
      <x:c r="F90" s="33"/>
      <x:c r="G90" s="33"/>
      <x:c r="H90" s="33"/>
      <x:c r="I90" s="33"/>
      <x:c r="J90" s="35"/>
      <x:c r="K90" s="35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33"/>
      <x:c r="C91" s="33"/>
      <x:c r="D91" s="33"/>
      <x:c r="E91" s="35"/>
      <x:c r="F91" s="33"/>
      <x:c r="G91" s="33"/>
      <x:c r="H91" s="33"/>
      <x:c r="I91" s="33"/>
      <x:c r="J91" s="35"/>
      <x:c r="K91" s="35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33"/>
      <x:c r="C92" s="33"/>
      <x:c r="D92" s="33"/>
      <x:c r="E92" s="35"/>
      <x:c r="F92" s="33"/>
      <x:c r="G92" s="33"/>
      <x:c r="H92" s="33"/>
      <x:c r="I92" s="33"/>
      <x:c r="J92" s="35"/>
      <x:c r="K92" s="35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33"/>
      <x:c r="C93" s="33"/>
      <x:c r="D93" s="33"/>
      <x:c r="E93" s="35"/>
      <x:c r="F93" s="33"/>
      <x:c r="G93" s="33"/>
      <x:c r="H93" s="33"/>
      <x:c r="I93" s="33"/>
      <x:c r="J93" s="35"/>
      <x:c r="K93" s="35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33"/>
      <x:c r="C94" s="33"/>
      <x:c r="D94" s="33"/>
      <x:c r="E94" s="35"/>
      <x:c r="F94" s="33"/>
      <x:c r="G94" s="33"/>
      <x:c r="H94" s="33"/>
      <x:c r="I94" s="33"/>
      <x:c r="J94" s="35"/>
      <x:c r="K94" s="35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33"/>
      <x:c r="C95" s="33"/>
      <x:c r="D95" s="33"/>
      <x:c r="E95" s="35"/>
      <x:c r="F95" s="33"/>
      <x:c r="G95" s="33"/>
      <x:c r="H95" s="33"/>
      <x:c r="I95" s="33"/>
      <x:c r="J95" s="35"/>
      <x:c r="K95" s="35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33"/>
      <x:c r="C96" s="33"/>
      <x:c r="D96" s="33"/>
      <x:c r="E96" s="35"/>
      <x:c r="F96" s="33"/>
      <x:c r="G96" s="33"/>
      <x:c r="H96" s="33"/>
      <x:c r="I96" s="33"/>
      <x:c r="J96" s="35"/>
      <x:c r="K96" s="35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33"/>
      <x:c r="C97" s="33"/>
      <x:c r="D97" s="33"/>
      <x:c r="E97" s="35"/>
      <x:c r="F97" s="33"/>
      <x:c r="G97" s="33"/>
      <x:c r="H97" s="33"/>
      <x:c r="I97" s="33"/>
      <x:c r="J97" s="35"/>
      <x:c r="K97" s="35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33"/>
      <x:c r="C98" s="33"/>
      <x:c r="D98" s="33"/>
      <x:c r="E98" s="35"/>
      <x:c r="F98" s="33"/>
      <x:c r="G98" s="33"/>
      <x:c r="H98" s="33"/>
      <x:c r="I98" s="33"/>
      <x:c r="J98" s="35"/>
      <x:c r="K98" s="35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33"/>
      <x:c r="C99" s="33"/>
      <x:c r="D99" s="33"/>
      <x:c r="E99" s="35"/>
      <x:c r="F99" s="33"/>
      <x:c r="G99" s="33"/>
      <x:c r="H99" s="33"/>
      <x:c r="I99" s="33"/>
      <x:c r="J99" s="35"/>
      <x:c r="K99" s="35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33"/>
      <x:c r="C100" s="33"/>
      <x:c r="D100" s="33"/>
      <x:c r="E100" s="35"/>
      <x:c r="F100" s="33"/>
      <x:c r="G100" s="33"/>
      <x:c r="H100" s="33"/>
      <x:c r="I100" s="33"/>
      <x:c r="J100" s="35"/>
      <x:c r="K100" s="35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</x:sheetData>
  <x:mergeCells>
    <x:mergeCell ref="A1:K1"/>
  </x:mergeCells>
  <x:dataValidations count="4">
    <x:dataValidation type="list" sqref="F4:F100">
      <x:formula1>"Approved,Pending,Rejected"</x:formula1>
    </x:dataValidation>
    <x:dataValidation type="list" sqref="G4:G100">
      <x:formula1>"Approved,Pending,Under Review,Rejected"</x:formula1>
    </x:dataValidation>
    <x:dataValidation type="list" sqref="H4:H100">
      <x:formula1>"Yes,No"</x:formula1>
    </x:dataValidation>
    <x:dataValidation type="list" sqref="I4:I100">
      <x:formula1>"Pending,Provisioned,On Hold,Rejected,Deprovisioned"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9a7c179805438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38" hidden="0" customWidth="1"/>
    <x:col min="5" max="5" width="34" hidden="0" customWidth="1"/>
    <x:col min="6" max="6" width="16" hidden="0" customWidth="1"/>
    <x:col min="7" max="7" width="16" hidden="0" customWidth="1"/>
  </x:cols>
  <x:sheetData>
    <x:row r="1" ht="28" customHeight="1">
      <x:c r="A1" s="32" t="str">
        <x:v>AI Use Case Index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 ht="30" customHeight="1">
      <x:c r="A3" s="13" t="str">
        <x:v>Use Case ID</x:v>
      </x:c>
      <x:c r="B3" s="13" t="str">
        <x:v>Tool</x:v>
      </x:c>
      <x:c r="C3" s="13" t="str">
        <x:v>Department</x:v>
      </x:c>
      <x:c r="D3" s="13" t="str">
        <x:v>Business Need</x:v>
      </x:c>
      <x:c r="E3" s="13" t="str">
        <x:v>Expected Benefit</x:v>
      </x:c>
      <x:c r="F3" s="13" t="str">
        <x:v>Adoption Level</x:v>
      </x:c>
      <x:c r="G3" s="13" t="str">
        <x:v>Status</x:v>
      </x:c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 t="str">
        <x:v>UC-001</x:v>
      </x:c>
      <x:c r="B4" s="33" t="str">
        <x:v>GitLab Duo</x:v>
      </x:c>
      <x:c r="C4" s="33" t="str">
        <x:v>Engineering</x:v>
      </x:c>
      <x:c r="D4" s="33" t="str">
        <x:v>Reduce time spent on repetitive coding and documentation</x:v>
      </x:c>
      <x:c r="E4" s="33" t="str">
        <x:v>Faster development cycles</x:v>
      </x:c>
      <x:c r="F4" s="33" t="str">
        <x:v>High</x:v>
      </x:c>
      <x:c r="G4" s="33" t="str">
        <x:v>Active</x:v>
      </x:c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 t="str">
        <x:v>UC-002</x:v>
      </x:c>
      <x:c r="B5" s="33" t="str">
        <x:v>ChatGPT Enterprise</x:v>
      </x:c>
      <x:c r="C5" s="33" t="str">
        <x:v>Company-Wide</x:v>
      </x:c>
      <x:c r="D5" s="33" t="str">
        <x:v>Accelerate research, drafting, summarization, and analysis</x:v>
      </x:c>
      <x:c r="E5" s="33" t="str">
        <x:v>Productivity improvement</x:v>
      </x:c>
      <x:c r="F5" s="33" t="str">
        <x:v>High</x:v>
      </x:c>
      <x:c r="G5" s="33" t="str">
        <x:v>Active</x:v>
      </x:c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 t="str">
        <x:v>UC-003</x:v>
      </x:c>
      <x:c r="B6" s="33" t="str">
        <x:v>Microsoft 365 Copilot</x:v>
      </x:c>
      <x:c r="C6" s="33" t="str">
        <x:v>Sales</x:v>
      </x:c>
      <x:c r="D6" s="33" t="str">
        <x:v>Improve email preparation and meeting follow-up</x:v>
      </x:c>
      <x:c r="E6" s="33" t="str">
        <x:v>Faster customer communication</x:v>
      </x:c>
      <x:c r="F6" s="33" t="str">
        <x:v>Medium</x:v>
      </x:c>
      <x:c r="G6" s="33" t="str">
        <x:v>Active</x:v>
      </x:c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 t="str">
        <x:v>UC-004</x:v>
      </x:c>
      <x:c r="B7" s="33" t="str">
        <x:v>Gemini for Workspace</x:v>
      </x:c>
      <x:c r="C7" s="33" t="str">
        <x:v>Marketing</x:v>
      </x:c>
      <x:c r="D7" s="33" t="str">
        <x:v>Support campaign ideation and content drafting</x:v>
      </x:c>
      <x:c r="E7" s="33" t="str">
        <x:v>Faster content production</x:v>
      </x:c>
      <x:c r="F7" s="33" t="str">
        <x:v>Medium</x:v>
      </x:c>
      <x:c r="G7" s="33" t="str">
        <x:v>Pilot</x:v>
      </x:c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 t="str">
        <x:v>UC-005</x:v>
      </x:c>
      <x:c r="B8" s="33" t="str">
        <x:v>Claude Team</x:v>
      </x:c>
      <x:c r="C8" s="33" t="str">
        <x:v>Customer Success</x:v>
      </x:c>
      <x:c r="D8" s="33" t="str">
        <x:v>Analyze long customer histories and draft responses</x:v>
      </x:c>
      <x:c r="E8" s="33" t="str">
        <x:v>Improved response quality</x:v>
      </x:c>
      <x:c r="F8" s="33" t="str">
        <x:v>Low</x:v>
      </x:c>
      <x:c r="G8" s="33" t="str">
        <x:v>Under Review</x:v>
      </x:c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3" t="str">
        <x:v>UC-006</x:v>
      </x:c>
      <x:c r="B9" s="33" t="str">
        <x:v>Notion AI</x:v>
      </x:c>
      <x:c r="C9" s="33" t="str">
        <x:v>Operations</x:v>
      </x:c>
      <x:c r="D9" s="33" t="str">
        <x:v>Summarize internal knowledge and maintain documentation</x:v>
      </x:c>
      <x:c r="E9" s="33" t="str">
        <x:v>Better knowledge access</x:v>
      </x:c>
      <x:c r="F9" s="33" t="str">
        <x:v>Low</x:v>
      </x:c>
      <x:c r="G9" s="33" t="str">
        <x:v>Active</x:v>
      </x:c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</x:sheetData>
  <x:mergeCells>
    <x:mergeCell ref="A1:G1"/>
  </x:mergeCells>
  <x:dataValidations count="2">
    <x:dataValidation type="list" sqref="F4:F100">
      <x:formula1>"Low,Medium,High"</x:formula1>
    </x:dataValidation>
    <x:dataValidation type="list" sqref="G4:G100">
      <x:formula1>"Active,Pilot,Under Review,Retired"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5701290f35423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24" hidden="0" customWidth="1"/>
    <x:col min="5" max="5" width="14" hidden="0" customWidth="1"/>
    <x:col min="7" max="7" width="22" hidden="0" customWidth="1"/>
    <x:col min="8" max="8" width="12" hidden="0" customWidth="1"/>
  </x:cols>
  <x:sheetData>
    <x:row r="1" ht="28" customHeight="1">
      <x:c r="A1" s="32" t="str">
        <x:v>AI Tool Governance Dashboard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 ht="30" customHeight="1">
      <x:c r="A3" s="13" t="str">
        <x:v>KPI</x:v>
      </x:c>
      <x:c r="B3" s="13" t="str">
        <x:v>Value</x:v>
      </x:c>
      <x:c r="C3" s="33"/>
      <x:c r="D3" s="13" t="str">
        <x:v>Tool</x:v>
      </x:c>
      <x:c r="E3" s="13" t="str">
        <x:v>Utilization</x:v>
      </x:c>
      <x:c r="F3" s="33"/>
      <x:c r="G3" s="13" t="str">
        <x:v>Provisioning Status</x:v>
      </x:c>
      <x:c r="H3" s="13" t="str">
        <x:v>Count</x:v>
      </x:c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 t="str">
        <x:v>Total AI Tools</x:v>
      </x:c>
      <x:c r="B4" s="33" t="n">
        <x:f>COUNTA('AI Tool Inventory'!A4:A100)</x:f>
        <x:v>6</x:v>
      </x:c>
      <x:c r="C4" s="33"/>
      <x:c r="D4" s="33" t="str">
        <x:v>GitLab Duo</x:v>
      </x:c>
      <x:c r="E4" s="36" t="n">
        <x:f>'AI Tool Inventory'!M4</x:f>
        <x:v>0.8666666666666667</x:v>
      </x:c>
      <x:c r="F4" s="33"/>
      <x:c r="G4" s="33" t="str">
        <x:v>Provisioned</x:v>
      </x:c>
      <x:c r="H4" s="33" t="n">
        <x:f>COUNTIF('Access Requests'!I4:I100,"Provisioned")</x:f>
        <x:v>4</x:v>
      </x:c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 t="str">
        <x:v>Approved Tools</x:v>
      </x:c>
      <x:c r="B5" s="33" t="n">
        <x:f>COUNTIF('AI Tool Inventory'!I4:I100,"Approved")</x:f>
        <x:v>4</x:v>
      </x:c>
      <x:c r="C5" s="33"/>
      <x:c r="D5" s="33" t="str">
        <x:v>ChatGPT Enterprise</x:v>
      </x:c>
      <x:c r="E5" s="36" t="n">
        <x:f>'AI Tool Inventory'!M5</x:f>
        <x:v>0.85</x:v>
      </x:c>
      <x:c r="F5" s="33"/>
      <x:c r="G5" s="33" t="str">
        <x:v>Pending</x:v>
      </x:c>
      <x:c r="H5" s="33" t="n">
        <x:f>COUNTIF('Access Requests'!I4:I100,"Pending")</x:f>
        <x:v>3</x:v>
      </x:c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 t="str">
        <x:v>Total Licenses</x:v>
      </x:c>
      <x:c r="B6" s="33" t="n">
        <x:f>SUM('AI Tool Inventory'!F4:F100)</x:f>
        <x:v>275</x:v>
      </x:c>
      <x:c r="C6" s="33"/>
      <x:c r="D6" s="33" t="str">
        <x:v>Microsoft 365 Copilot</x:v>
      </x:c>
      <x:c r="E6" s="36" t="n">
        <x:f>'AI Tool Inventory'!M6</x:f>
        <x:v>0.7333333333333333</x:v>
      </x:c>
      <x:c r="F6" s="33"/>
      <x:c r="G6" s="33" t="str">
        <x:v>On Hold</x:v>
      </x:c>
      <x:c r="H6" s="33" t="n">
        <x:f>COUNTIF('Access Requests'!I4:I100,"On Hold")</x:f>
        <x:v>1</x:v>
      </x:c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 t="str">
        <x:v>Active Users</x:v>
      </x:c>
      <x:c r="B7" s="33" t="n">
        <x:f>SUM('AI Tool Inventory'!G4:G100)</x:f>
        <x:v>188</x:v>
      </x:c>
      <x:c r="C7" s="33"/>
      <x:c r="D7" s="33" t="str">
        <x:v>Gemini for Workspace</x:v>
      </x:c>
      <x:c r="E7" s="36" t="n">
        <x:f>'AI Tool Inventory'!M7</x:f>
        <x:v>0.4857142857142857</x:v>
      </x:c>
      <x:c r="F7" s="33"/>
      <x:c r="G7" s="33" t="str">
        <x:v>Rejected</x:v>
      </x:c>
      <x:c r="H7" s="33" t="n">
        <x:f>COUNTIF('Access Requests'!I4:I100,"Rejected")</x:f>
        <x:v>0</x:v>
      </x:c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 t="str">
        <x:v>Overall Utilization</x:v>
      </x:c>
      <x:c r="B8" s="36" t="n">
        <x:f>IFERROR(B7/B6,0)</x:f>
        <x:v>0.6836363636363636</x:v>
      </x:c>
      <x:c r="C8" s="33"/>
      <x:c r="D8" s="33" t="str">
        <x:v>Claude Team</x:v>
      </x:c>
      <x:c r="E8" s="36" t="n">
        <x:f>'AI Tool Inventory'!M8</x:f>
        <x:v>0.36</x:v>
      </x:c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3" t="str">
        <x:v>Pending Access Requests</x:v>
      </x:c>
      <x:c r="B9" s="33" t="n">
        <x:f>COUNTIF('Access Requests'!I4:I100,"Pending")</x:f>
        <x:v>3</x:v>
      </x:c>
      <x:c r="C9" s="33"/>
      <x:c r="D9" s="33" t="str">
        <x:v>Notion AI</x:v>
      </x:c>
      <x:c r="E9" s="36" t="n">
        <x:f>'AI Tool Inventory'!M9</x:f>
        <x:v>0.36666666666666664</x:v>
      </x:c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3" t="str">
        <x:v>Underutilized Tools (&lt;50%)</x:v>
      </x:c>
      <x:c r="B10" s="33" t="n">
        <x:f>COUNTIFS('AI Tool Inventory'!A4:A100,"&lt;&gt;",'AI Tool Inventory'!M4:M100,"&lt;0.5")</x:f>
        <x:v>3</x:v>
      </x:c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 t="str">
        <x:v>Monthly Licensing Cost</x:v>
      </x:c>
      <x:c r="B11" s="34" t="n">
        <x:f>SUM('AI Tool Inventory'!H4:H100)</x:f>
        <x:v>17200</x:v>
      </x:c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27" t="str">
        <x:v>Portfolio scenario: simulated enterprise AI governance workbook demonstrating tool inventory, license utilization, access request tracking, use-case management, and operational reporting.</x:v>
      </x:c>
      <x:c r="E29" s="27"/>
      <x:c r="F29" s="27"/>
      <x:c r="G29" s="27"/>
      <x:c r="H29" s="27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27"/>
      <x:c r="E30" s="27"/>
      <x:c r="F30" s="27"/>
      <x:c r="G30" s="27"/>
      <x:c r="H30" s="27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27"/>
      <x:c r="E31" s="27"/>
      <x:c r="F31" s="27"/>
      <x:c r="G31" s="27"/>
      <x:c r="H31" s="27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27"/>
      <x:c r="E32" s="27"/>
      <x:c r="F32" s="27"/>
      <x:c r="G32" s="27"/>
      <x:c r="H32" s="27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</x:sheetData>
  <x:mergeCells>
    <x:mergeCell ref="A1:H1"/>
    <x:mergeCell ref="D29:H32"/>
  </x:mergeCells>
  <x:pageMargins left="0.7" right="0.7" top="0.75" bottom="0.75" header="0.3" footer="0.3"/>
  <x:drawing xmlns:r="http://schemas.openxmlformats.org/officeDocument/2006/relationships" r:id="Rd219ce34ae7546af"/>
</x:worksheet>
</file>